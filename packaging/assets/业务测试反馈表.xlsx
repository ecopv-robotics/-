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5e03b2bd2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" sheetId="1" r:id="Ra228373eb8b9459c"/>
    <x:sheet xmlns:r="http://schemas.openxmlformats.org/officeDocument/2006/relationships" name="问题反馈" sheetId="2" r:id="Rf99156394681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17324D"/>
      <x:name val="Arial"/>
    </x:font>
    <x:font>
      <x:sz val="10"/>
      <x:color rgb="FF52697E"/>
      <x:name val="Arial"/>
    </x:font>
    <x:font>
      <x:b/>
      <x:sz val="10"/>
      <x:color rgb="FF17324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F5FA"/>
      </x:patternFill>
    </x:fill>
    <x:fill>
      <x:patternFill patternType="solid">
        <x:fgColor rgb="FF17324D"/>
      </x:patternFill>
    </x:fill>
    <x:fill>
      <x:patternFill patternType="solid">
        <x:fgColor rgb="FFFFF2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42323"/>
      </x:font>
      <x:fill>
        <x:patternFill patternType="solid">
          <x:bgColor rgb="FFFCE4E4"/>
        </x:patternFill>
      </x:fill>
    </x:dxf>
    <x:dxf>
      <x:font>
        <x:b/>
        <x:color rgb="FF925800"/>
      </x:font>
      <x:fill>
        <x:patternFill patternType="solid">
          <x:bgColor rgb="FFFFF0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a0e39d92f49eb" /><Relationship Type="http://schemas.openxmlformats.org/officeDocument/2006/relationships/theme" Target="/xl/theme/theme1.xml" Id="R232fcfa8ec6c4e69" /><Relationship Type="http://schemas.openxmlformats.org/officeDocument/2006/relationships/sharedStrings" Target="/xl/sharedStrings.xml" Id="R1d5b294227d64cd6" /><Relationship Type="http://schemas.openxmlformats.org/officeDocument/2006/relationships/worksheet" Target="/xl/worksheets/sheet1.xml" Id="Ra228373eb8b9459c" /><Relationship Type="http://schemas.openxmlformats.org/officeDocument/2006/relationships/worksheet" Target="/xl/worksheets/sheet2.xml" Id="Rf991563946814274" /></Relationships>
</file>

<file path=xl/tables/table1.xml><?xml version="1.0" encoding="utf-8"?>
<x:table xmlns:x="http://schemas.openxmlformats.org/spreadsheetml/2006/main" id="1" name="TestCasesTable" displayName="TestCasesTable" ref="A7:L27" headerRowCount="1" totalsRowCount="0" totalsRowShown="0">
  <x:tableColumns count="12">
    <x:tableColumn id="1" name="用例编号"/>
    <x:tableColumn id="2" name="模块"/>
    <x:tableColumn id="3" name="测试操作"/>
    <x:tableColumn id="4" name="预期结果"/>
    <x:tableColumn id="5" name="测试人"/>
    <x:tableColumn id="6" name="测试日期"/>
    <x:tableColumn id="7" name="实际结果"/>
    <x:tableColumn id="8" name="结果"/>
    <x:tableColumn id="9" name="证据文件/截图"/>
    <x:tableColumn id="10" name="问题编号"/>
    <x:tableColumn id="11" name="复测人"/>
    <x:tableColumn id="12" name="复测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FeedbackTable" displayName="IssueFeedbackTable" ref="A6:L46" headerRowCount="1" totalsRowCount="0" totalsRowShown="0">
  <x:tableColumns count="12">
    <x:tableColumn id="1" name="问题编号"/>
    <x:tableColumn id="2" name="关联用例"/>
    <x:tableColumn id="3" name="发现日期"/>
    <x:tableColumn id="4" name="发现人"/>
    <x:tableColumn id="5" name="严重程度"/>
    <x:tableColumn id="6" name="实际问题"/>
    <x:tableColumn id="7" name="复现步骤"/>
    <x:tableColumn id="8" name="证据文件/截图"/>
    <x:tableColumn id="9" name="影响范围"/>
    <x:tableColumn id="10" name="处理状态"/>
    <x:tableColumn id="11" name="修复说明/版本"/>
    <x:tableColumn id="12" name="复测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a049c24b04f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b4fee5a76a44a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43" hidden="0" customWidth="1"/>
    <x:col min="5" max="5" width="13" hidden="0" customWidth="1"/>
    <x:col min="6" max="6" width="15" hidden="0" customWidth="1"/>
    <x:col min="7" max="7" width="36" hidden="0" customWidth="1"/>
    <x:col min="8" max="8" width="12" hidden="0" customWidth="1"/>
    <x:col min="9" max="9" width="29" hidden="0" customWidth="1"/>
    <x:col min="10" max="10" width="15" hidden="0" customWidth="1"/>
    <x:col min="11" max="11" width="13" hidden="0" customWidth="1"/>
    <x:col min="12" max="12" width="15" hidden="0" customWidth="1"/>
  </x:cols>
  <x:sheetData>
    <x:row r="2">
      <x:c r="A2" s="1" t="str">
        <x:v>邮件审核工作台业务测试记录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>
      <x:c r="A4" s="2" t="str">
        <x:v>按用例逐项测试；失败或阻塞时填写实际结果和证据，并到“问题反馈”登记一条问题。请勿填写账号密码或完整客户资料。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4" t="str">
        <x:v>用例数</x:v>
      </x:c>
      <x:c r="B5" s="4" t="n">
        <x:v>20</x:v>
      </x:c>
      <x:c r="C5" s="4" t="str">
        <x:v>通过</x:v>
      </x:c>
      <x:c r="D5" s="4" t="n">
        <x:f>COUNTIFS(H8:H200,"通过")</x:f>
        <x:v>0</x:v>
      </x:c>
      <x:c r="E5" s="4" t="str">
        <x:v>失败</x:v>
      </x:c>
      <x:c r="F5" s="4" t="n">
        <x:f>COUNTIFS(H8:H200,"失败")</x:f>
        <x:v>0</x:v>
      </x:c>
      <x:c r="G5" s="4" t="str">
        <x:v>阻塞</x:v>
      </x:c>
      <x:c r="H5" s="4" t="n">
        <x:f>COUNTIFS(H8:H200,"阻塞")</x:f>
        <x:v>0</x:v>
      </x:c>
    </x:row>
    <x:row r="7" ht="30" customHeight="1">
      <x:c r="A7" s="9" t="str">
        <x:v>用例编号</x:v>
      </x:c>
      <x:c r="B7" s="9" t="str">
        <x:v>模块</x:v>
      </x:c>
      <x:c r="C7" s="9" t="str">
        <x:v>测试操作</x:v>
      </x:c>
      <x:c r="D7" s="9" t="str">
        <x:v>预期结果</x:v>
      </x:c>
      <x:c r="E7" s="9" t="str">
        <x:v>测试人</x:v>
      </x:c>
      <x:c r="F7" s="9" t="str">
        <x:v>测试日期</x:v>
      </x:c>
      <x:c r="G7" s="9" t="str">
        <x:v>实际结果</x:v>
      </x:c>
      <x:c r="H7" s="9" t="str">
        <x:v>结果</x:v>
      </x:c>
      <x:c r="I7" s="9" t="str">
        <x:v>证据文件/截图</x:v>
      </x:c>
      <x:c r="J7" s="9" t="str">
        <x:v>问题编号</x:v>
      </x:c>
      <x:c r="K7" s="9" t="str">
        <x:v>复测人</x:v>
      </x:c>
      <x:c r="L7" s="9" t="str">
        <x:v>复测结果</x:v>
      </x:c>
    </x:row>
    <x:row r="8" ht="43" customHeight="1">
      <x:c r="A8" s="5" t="str">
        <x:v>T01</x:v>
      </x:c>
      <x:c r="B8" s="5" t="str">
        <x:v>安装与启动</x:v>
      </x:c>
      <x:c r="C8" s="11" t="str">
        <x:v>解压 ZIP 后双击“启动工作台.bat”</x:v>
      </x:c>
      <x:c r="D8" s="11" t="str">
        <x:v>本机工作台打开；无缺文件或运行环境错误</x:v>
      </x:c>
      <x:c r="E8" s="12"/>
      <x:c r="F8" s="13"/>
      <x:c r="G8" s="12"/>
      <x:c r="H8" s="12" t="str">
        <x:v>未测试</x:v>
      </x:c>
      <x:c r="I8" s="12"/>
      <x:c r="J8" s="12"/>
      <x:c r="K8" s="12"/>
      <x:c r="L8" s="12"/>
    </x:row>
    <x:row r="9" ht="43" customHeight="1">
      <x:c r="A9" s="5" t="str">
        <x:v>T02</x:v>
      </x:c>
      <x:c r="B9" s="5" t="str">
        <x:v>账号设置</x:v>
      </x:c>
      <x:c r="C9" s="11" t="str">
        <x:v>在账号配置中填写邮箱/工单账号和密码，点击保存</x:v>
      </x:c>
      <x:c r="D9" s="11" t="str">
        <x:v>提示保存成功；重新打开后账号仍在，密码显示已配置</x:v>
      </x:c>
      <x:c r="E9" s="12"/>
      <x:c r="F9" s="13"/>
      <x:c r="G9" s="12"/>
      <x:c r="H9" s="12" t="str">
        <x:v>未测试</x:v>
      </x:c>
      <x:c r="I9" s="12"/>
      <x:c r="J9" s="12"/>
      <x:c r="K9" s="12"/>
      <x:c r="L9" s="12"/>
    </x:row>
    <x:row r="10" ht="43" customHeight="1">
      <x:c r="A10" s="5" t="str">
        <x:v>T03</x:v>
      </x:c>
      <x:c r="B10" s="5" t="str">
        <x:v>固定工单入口</x:v>
      </x:c>
      <x:c r="C10" s="11" t="str">
        <x:v>检查账号配置并启动阶段二登录</x:v>
      </x:c>
      <x:c r="D10" s="11" t="str">
        <x:v>无需输入网址；Edge 打开固定工单登录入口</x:v>
      </x:c>
      <x:c r="E10" s="12"/>
      <x:c r="F10" s="13"/>
      <x:c r="G10" s="12"/>
      <x:c r="H10" s="12" t="str">
        <x:v>未测试</x:v>
      </x:c>
      <x:c r="I10" s="12"/>
      <x:c r="J10" s="12"/>
      <x:c r="K10" s="12"/>
      <x:c r="L10" s="12"/>
    </x:row>
    <x:row r="11" ht="43" customHeight="1">
      <x:c r="A11" s="5" t="str">
        <x:v>T04</x:v>
      </x:c>
      <x:c r="B11" s="5" t="str">
        <x:v>邮件读取</x:v>
      </x:c>
      <x:c r="C11" s="11" t="str">
        <x:v>选择单日范围运行阶段一</x:v>
      </x:c>
      <x:c r="D11" s="11" t="str">
        <x:v>仅读取所选日期邮件；数量与邮箱可核对</x:v>
      </x:c>
      <x:c r="E11" s="12"/>
      <x:c r="F11" s="13"/>
      <x:c r="G11" s="12"/>
      <x:c r="H11" s="12" t="str">
        <x:v>未测试</x:v>
      </x:c>
      <x:c r="I11" s="12"/>
      <x:c r="J11" s="12"/>
      <x:c r="K11" s="12"/>
      <x:c r="L11" s="12"/>
    </x:row>
    <x:row r="12" ht="43" customHeight="1">
      <x:c r="A12" s="5" t="str">
        <x:v>T05</x:v>
      </x:c>
      <x:c r="B12" s="5" t="str">
        <x:v>日期边界</x:v>
      </x:c>
      <x:c r="C12" s="11" t="str">
        <x:v>选择跨日范围运行阶段一</x:v>
      </x:c>
      <x:c r="D12" s="11" t="str">
        <x:v>起止日期均包含；范围外邮件不混入</x:v>
      </x:c>
      <x:c r="E12" s="12"/>
      <x:c r="F12" s="13"/>
      <x:c r="G12" s="12"/>
      <x:c r="H12" s="12" t="str">
        <x:v>未测试</x:v>
      </x:c>
      <x:c r="I12" s="12"/>
      <x:c r="J12" s="12"/>
      <x:c r="K12" s="12"/>
      <x:c r="L12" s="12"/>
    </x:row>
    <x:row r="13" ht="43" customHeight="1">
      <x:c r="A13" s="5" t="str">
        <x:v>T06</x:v>
      </x:c>
      <x:c r="B13" s="5" t="str">
        <x:v>附件解析</x:v>
      </x:c>
      <x:c r="C13" s="11" t="str">
        <x:v>用含 Excel/PDF/压缩包的测试邮件运行阶段一</x:v>
      </x:c>
      <x:c r="D13" s="11" t="str">
        <x:v>附件可读取；无法读取的附件有明确提示</x:v>
      </x:c>
      <x:c r="E13" s="12"/>
      <x:c r="F13" s="13"/>
      <x:c r="G13" s="12"/>
      <x:c r="H13" s="12" t="str">
        <x:v>未测试</x:v>
      </x:c>
      <x:c r="I13" s="12"/>
      <x:c r="J13" s="12"/>
      <x:c r="K13" s="12"/>
      <x:c r="L13" s="12"/>
    </x:row>
    <x:row r="14" ht="43" customHeight="1">
      <x:c r="A14" s="5" t="str">
        <x:v>T07</x:v>
      </x:c>
      <x:c r="B14" s="5" t="str">
        <x:v>图片识别</x:v>
      </x:c>
      <x:c r="C14" s="11" t="str">
        <x:v>用含图片文字的测试邮件运行阶段一</x:v>
      </x:c>
      <x:c r="D14" s="11" t="str">
        <x:v>图片文字可识别；不应将无关文字误作业务</x:v>
      </x:c>
      <x:c r="E14" s="12"/>
      <x:c r="F14" s="13"/>
      <x:c r="G14" s="12"/>
      <x:c r="H14" s="12" t="str">
        <x:v>未测试</x:v>
      </x:c>
      <x:c r="I14" s="12"/>
      <x:c r="J14" s="12"/>
      <x:c r="K14" s="12"/>
      <x:c r="L14" s="12"/>
    </x:row>
    <x:row r="15" ht="43" customHeight="1">
      <x:c r="A15" s="5" t="str">
        <x:v>T08</x:v>
      </x:c>
      <x:c r="B15" s="5" t="str">
        <x:v>公司与代理</x:v>
      </x:c>
      <x:c r="C15" s="11" t="str">
        <x:v>复核同时含客户名称和代理签名的邮件</x:v>
      </x:c>
      <x:c r="D15" s="11" t="str">
        <x:v>客户公司与代理分开；不把代理填成客户</x:v>
      </x:c>
      <x:c r="E15" s="12"/>
      <x:c r="F15" s="13"/>
      <x:c r="G15" s="12"/>
      <x:c r="H15" s="12" t="str">
        <x:v>未测试</x:v>
      </x:c>
      <x:c r="I15" s="12"/>
      <x:c r="J15" s="12"/>
      <x:c r="K15" s="12"/>
      <x:c r="L15" s="12"/>
    </x:row>
    <x:row r="16" ht="43" customHeight="1">
      <x:c r="A16" s="5" t="str">
        <x:v>T09</x:v>
      </x:c>
      <x:c r="B16" s="5" t="str">
        <x:v>中英文公司名</x:v>
      </x:c>
      <x:c r="C16" s="11" t="str">
        <x:v>复核含中英文名称的申请表</x:v>
      </x:c>
      <x:c r="D16" s="11" t="str">
        <x:v>同一客户中英文名称不拆成两家公司</x:v>
      </x:c>
      <x:c r="E16" s="12"/>
      <x:c r="F16" s="13"/>
      <x:c r="G16" s="12"/>
      <x:c r="H16" s="12" t="str">
        <x:v>未测试</x:v>
      </x:c>
      <x:c r="I16" s="12"/>
      <x:c r="J16" s="12"/>
      <x:c r="K16" s="12"/>
      <x:c r="L16" s="12"/>
    </x:row>
    <x:row r="17" ht="43" customHeight="1">
      <x:c r="A17" s="5" t="str">
        <x:v>T10</x:v>
      </x:c>
      <x:c r="B17" s="5" t="str">
        <x:v>项目识别</x:v>
      </x:c>
      <x:c r="C17" s="11" t="str">
        <x:v>复核德国 WEEE/电池法及其他国家项目</x:v>
      </x:c>
      <x:c r="D17" s="11" t="str">
        <x:v>国家、项目和具体业务按证据提取；不确定项待复核</x:v>
      </x:c>
      <x:c r="E17" s="12"/>
      <x:c r="F17" s="13"/>
      <x:c r="G17" s="12"/>
      <x:c r="H17" s="12" t="str">
        <x:v>未测试</x:v>
      </x:c>
      <x:c r="I17" s="12"/>
      <x:c r="J17" s="12"/>
      <x:c r="K17" s="12"/>
      <x:c r="L17" s="12"/>
    </x:row>
    <x:row r="18" ht="43" customHeight="1">
      <x:c r="A18" s="5" t="str">
        <x:v>T11</x:v>
      </x:c>
      <x:c r="B18" s="5" t="str">
        <x:v>新增业务</x:v>
      </x:c>
      <x:c r="C18" s="11" t="str">
        <x:v>在一封邮件中点击“新增业务”</x:v>
      </x:c>
      <x:c r="D18" s="11" t="str">
        <x:v>仅新增业务明细，不会自动确认整封邮件</x:v>
      </x:c>
      <x:c r="E18" s="12"/>
      <x:c r="F18" s="13"/>
      <x:c r="G18" s="12"/>
      <x:c r="H18" s="12" t="str">
        <x:v>未测试</x:v>
      </x:c>
      <x:c r="I18" s="12"/>
      <x:c r="J18" s="12"/>
      <x:c r="K18" s="12"/>
      <x:c r="L18" s="12"/>
    </x:row>
    <x:row r="19" ht="43" customHeight="1">
      <x:c r="A19" s="5" t="str">
        <x:v>T12</x:v>
      </x:c>
      <x:c r="B19" s="5" t="str">
        <x:v>确认与筛选</x:v>
      </x:c>
      <x:c r="C19" s="11" t="str">
        <x:v>确认单条业务并切换“全部/待复核/待确认/已确认”</x:v>
      </x:c>
      <x:c r="D19" s="11" t="str">
        <x:v>状态按业务明细更新；已确认不回到待复核</x:v>
      </x:c>
      <x:c r="E19" s="12"/>
      <x:c r="F19" s="13"/>
      <x:c r="G19" s="12"/>
      <x:c r="H19" s="12" t="str">
        <x:v>未测试</x:v>
      </x:c>
      <x:c r="I19" s="12"/>
      <x:c r="J19" s="12"/>
      <x:c r="K19" s="12"/>
      <x:c r="L19" s="12"/>
    </x:row>
    <x:row r="20" ht="43" customHeight="1">
      <x:c r="A20" s="5" t="str">
        <x:v>T13</x:v>
      </x:c>
      <x:c r="B20" s="5" t="str">
        <x:v>整封整理完成</x:v>
      </x:c>
      <x:c r="C20" s="11" t="str">
        <x:v>点击“整理完成”并重新查看邮件</x:v>
      </x:c>
      <x:c r="D20" s="11" t="str">
        <x:v>只执行整封邮件对应操作，不误触其他按钮</x:v>
      </x:c>
      <x:c r="E20" s="12"/>
      <x:c r="F20" s="13"/>
      <x:c r="G20" s="12"/>
      <x:c r="H20" s="12" t="str">
        <x:v>未测试</x:v>
      </x:c>
      <x:c r="I20" s="12"/>
      <x:c r="J20" s="12"/>
      <x:c r="K20" s="12"/>
      <x:c r="L20" s="12"/>
    </x:row>
    <x:row r="21" ht="43" customHeight="1">
      <x:c r="A21" s="5" t="str">
        <x:v>T14</x:v>
      </x:c>
      <x:c r="B21" s="5" t="str">
        <x:v>阶段一导出</x:v>
      </x:c>
      <x:c r="C21" s="11" t="str">
        <x:v>导出已确认的阶段一结果</x:v>
      </x:c>
      <x:c r="D21" s="11" t="str">
        <x:v>文件可打开；未确认业务不冒充已核对成功</x:v>
      </x:c>
      <x:c r="E21" s="12"/>
      <x:c r="F21" s="13"/>
      <x:c r="G21" s="12"/>
      <x:c r="H21" s="12" t="str">
        <x:v>未测试</x:v>
      </x:c>
      <x:c r="I21" s="12"/>
      <x:c r="J21" s="12"/>
      <x:c r="K21" s="12"/>
      <x:c r="L21" s="12"/>
    </x:row>
    <x:row r="22" ht="43" customHeight="1">
      <x:c r="A22" s="5" t="str">
        <x:v>T15</x:v>
      </x:c>
      <x:c r="B22" s="5" t="str">
        <x:v>工单筛选</x:v>
      </x:c>
      <x:c r="C22" s="11" t="str">
        <x:v>用单条有效业务启动阶段二</x:v>
      </x:c>
      <x:c r="D22" s="11" t="str">
        <x:v>填写公司、代理、国家、项目及日期后实际点击“查询”</x:v>
      </x:c>
      <x:c r="E22" s="12"/>
      <x:c r="F22" s="13"/>
      <x:c r="G22" s="12"/>
      <x:c r="H22" s="12" t="str">
        <x:v>未测试</x:v>
      </x:c>
      <x:c r="I22" s="12"/>
      <x:c r="J22" s="12"/>
      <x:c r="K22" s="12"/>
      <x:c r="L22" s="12"/>
    </x:row>
    <x:row r="23" ht="43" customHeight="1">
      <x:c r="A23" s="5" t="str">
        <x:v>T16</x:v>
      </x:c>
      <x:c r="B23" s="5" t="str">
        <x:v>切换页签</x:v>
      </x:c>
      <x:c r="C23" s="11" t="str">
        <x:v>德国项目切换工单列表与品类明细</x:v>
      </x:c>
      <x:c r="D23" s="11" t="str">
        <x:v>必要条件和日期重新确认并查询；不读取旧表格</x:v>
      </x:c>
      <x:c r="E23" s="12"/>
      <x:c r="F23" s="13"/>
      <x:c r="G23" s="12"/>
      <x:c r="H23" s="12" t="str">
        <x:v>未测试</x:v>
      </x:c>
      <x:c r="I23" s="12"/>
      <x:c r="J23" s="12"/>
      <x:c r="K23" s="12"/>
      <x:c r="L23" s="12"/>
    </x:row>
    <x:row r="24" ht="43" customHeight="1">
      <x:c r="A24" s="5" t="str">
        <x:v>T17</x:v>
      </x:c>
      <x:c r="B24" s="5" t="str">
        <x:v>WEEE 明细</x:v>
      </x:c>
      <x:c r="C24" s="11" t="str">
        <x:v>核对同一公司多个品牌与 WEEE 类别</x:v>
      </x:c>
      <x:c r="D24" s="11" t="str">
        <x:v>按品牌＋类别逐项匹配；缺项/额外项单独提示</x:v>
      </x:c>
      <x:c r="E24" s="12"/>
      <x:c r="F24" s="13"/>
      <x:c r="G24" s="12"/>
      <x:c r="H24" s="12" t="str">
        <x:v>未测试</x:v>
      </x:c>
      <x:c r="I24" s="12"/>
      <x:c r="J24" s="12"/>
      <x:c r="K24" s="12"/>
      <x:c r="L24" s="12"/>
    </x:row>
    <x:row r="25" ht="43" customHeight="1">
      <x:c r="A25" s="5" t="str">
        <x:v>T18</x:v>
      </x:c>
      <x:c r="B25" s="5" t="str">
        <x:v>电池法明细</x:v>
      </x:c>
      <x:c r="C25" s="11" t="str">
        <x:v>核对同一公司多个品牌与电池类型</x:v>
      </x:c>
      <x:c r="D25" s="11" t="str">
        <x:v>按品牌＋电池类型逐项匹配；不依赖行顺序</x:v>
      </x:c>
      <x:c r="E25" s="12"/>
      <x:c r="F25" s="13"/>
      <x:c r="G25" s="12"/>
      <x:c r="H25" s="12" t="str">
        <x:v>未测试</x:v>
      </x:c>
      <x:c r="I25" s="12"/>
      <x:c r="J25" s="12"/>
      <x:c r="K25" s="12"/>
      <x:c r="L25" s="12"/>
    </x:row>
    <x:row r="26" ht="43" customHeight="1">
      <x:c r="A26" s="5" t="str">
        <x:v>T19</x:v>
      </x:c>
      <x:c r="B26" s="5" t="str">
        <x:v>异常候选</x:v>
      </x:c>
      <x:c r="C26" s="11" t="str">
        <x:v>测试无结果、多个候选、明细读失败的记录</x:v>
      </x:c>
      <x:c r="D26" s="11" t="str">
        <x:v>失败/待复核/未核对状态准确，不误报成功</x:v>
      </x:c>
      <x:c r="E26" s="12"/>
      <x:c r="F26" s="13"/>
      <x:c r="G26" s="12"/>
      <x:c r="H26" s="12" t="str">
        <x:v>未测试</x:v>
      </x:c>
      <x:c r="I26" s="12"/>
      <x:c r="J26" s="12"/>
      <x:c r="K26" s="12"/>
      <x:c r="L26" s="12"/>
    </x:row>
    <x:row r="27" ht="43" customHeight="1">
      <x:c r="A27" s="5" t="str">
        <x:v>T20</x:v>
      </x:c>
      <x:c r="B27" s="5" t="str">
        <x:v>结果与重启</x:v>
      </x:c>
      <x:c r="C27" s="11" t="str">
        <x:v>导出阶段二结果并关闭重启工作台</x:v>
      </x:c>
      <x:c r="D27" s="11" t="str">
        <x:v>结果可打开；人工确认和本机数据仍在</x:v>
      </x:c>
      <x:c r="E27" s="12"/>
      <x:c r="F27" s="13"/>
      <x:c r="G27" s="12"/>
      <x:c r="H27" s="12" t="str">
        <x:v>未测试</x:v>
      </x:c>
      <x:c r="I27" s="12"/>
      <x:c r="J27" s="12"/>
      <x:c r="K27" s="12"/>
      <x:c r="L27" s="12"/>
    </x:row>
    <x:row r="28">
      <x:c r="F28" s="14"/>
    </x:row>
    <x:row r="29">
      <x:c r="F29" s="14"/>
    </x:row>
    <x:row r="30">
      <x:c r="F30" s="14"/>
    </x:row>
    <x:row r="31">
      <x:c r="F31" s="14"/>
    </x:row>
    <x:row r="32">
      <x:c r="F32" s="14"/>
    </x:row>
    <x:row r="33">
      <x:c r="F33" s="14"/>
    </x:row>
    <x:row r="34">
      <x:c r="F34" s="14"/>
    </x:row>
    <x:row r="35">
      <x:c r="F35" s="14"/>
    </x:row>
    <x:row r="36">
      <x:c r="F36" s="14"/>
    </x:row>
    <x:row r="37">
      <x:c r="F37" s="14"/>
    </x:row>
    <x:row r="38">
      <x:c r="F38" s="14"/>
    </x:row>
    <x:row r="39">
      <x:c r="F39" s="14"/>
    </x:row>
    <x:row r="40">
      <x:c r="F40" s="14"/>
    </x:row>
    <x:row r="41">
      <x:c r="F41" s="14"/>
    </x:row>
    <x:row r="42">
      <x:c r="F42" s="14"/>
    </x:row>
    <x:row r="43">
      <x:c r="F43" s="14"/>
    </x:row>
    <x:row r="44">
      <x:c r="F44" s="14"/>
    </x:row>
    <x:row r="45">
      <x:c r="F45" s="14"/>
    </x:row>
    <x:row r="46">
      <x:c r="F46" s="14"/>
    </x:row>
    <x:row r="47">
      <x:c r="F47" s="14"/>
    </x:row>
    <x:row r="48">
      <x:c r="F48" s="14"/>
    </x:row>
    <x:row r="49">
      <x:c r="F49" s="14"/>
    </x:row>
    <x:row r="50">
      <x:c r="F50" s="14"/>
    </x:row>
    <x:row r="51">
      <x:c r="F51" s="14"/>
    </x:row>
    <x:row r="52">
      <x:c r="F52" s="14"/>
    </x:row>
    <x:row r="53">
      <x:c r="F53" s="14"/>
    </x:row>
    <x:row r="54">
      <x:c r="F54" s="14"/>
    </x:row>
    <x:row r="55">
      <x:c r="F55" s="14"/>
    </x:row>
    <x:row r="56">
      <x:c r="F56" s="14"/>
    </x:row>
    <x:row r="57">
      <x:c r="F57" s="14"/>
    </x:row>
    <x:row r="58">
      <x:c r="F58" s="14"/>
    </x:row>
    <x:row r="59">
      <x:c r="F59" s="14"/>
    </x:row>
    <x:row r="60">
      <x:c r="F60" s="14"/>
    </x:row>
    <x:row r="61">
      <x:c r="F61" s="14"/>
    </x:row>
    <x:row r="62">
      <x:c r="F62" s="14"/>
    </x:row>
    <x:row r="63">
      <x:c r="F63" s="14"/>
    </x:row>
    <x:row r="64">
      <x:c r="F64" s="14"/>
    </x:row>
    <x:row r="65">
      <x:c r="F65" s="14"/>
    </x:row>
    <x:row r="66">
      <x:c r="F66" s="14"/>
    </x:row>
    <x:row r="67">
      <x:c r="F67" s="14"/>
    </x:row>
    <x:row r="68">
      <x:c r="F68" s="14"/>
    </x:row>
    <x:row r="69">
      <x:c r="F69" s="14"/>
    </x:row>
    <x:row r="70">
      <x:c r="F70" s="14"/>
    </x:row>
    <x:row r="71">
      <x:c r="F71" s="14"/>
    </x:row>
    <x:row r="72">
      <x:c r="F72" s="14"/>
    </x:row>
    <x:row r="73">
      <x:c r="F73" s="14"/>
    </x:row>
    <x:row r="74">
      <x:c r="F74" s="14"/>
    </x:row>
    <x:row r="75">
      <x:c r="F75" s="14"/>
    </x:row>
    <x:row r="76">
      <x:c r="F76" s="14"/>
    </x:row>
    <x:row r="77">
      <x:c r="F77" s="14"/>
    </x:row>
    <x:row r="78">
      <x:c r="F78" s="14"/>
    </x:row>
    <x:row r="79">
      <x:c r="F79" s="14"/>
    </x:row>
    <x:row r="80">
      <x:c r="F80" s="14"/>
    </x:row>
    <x:row r="81">
      <x:c r="F81" s="14"/>
    </x:row>
    <x:row r="82">
      <x:c r="F82" s="14"/>
    </x:row>
    <x:row r="83">
      <x:c r="F83" s="14"/>
    </x:row>
    <x:row r="84">
      <x:c r="F84" s="14"/>
    </x:row>
    <x:row r="85">
      <x:c r="F85" s="14"/>
    </x:row>
    <x:row r="86">
      <x:c r="F86" s="14"/>
    </x:row>
    <x:row r="87">
      <x:c r="F87" s="14"/>
    </x:row>
    <x:row r="88">
      <x:c r="F88" s="14"/>
    </x:row>
    <x:row r="89">
      <x:c r="F89" s="14"/>
    </x:row>
    <x:row r="90">
      <x:c r="F90" s="14"/>
    </x:row>
    <x:row r="91">
      <x:c r="F91" s="14"/>
    </x:row>
    <x:row r="92">
      <x:c r="F92" s="14"/>
    </x:row>
    <x:row r="93">
      <x:c r="F93" s="14"/>
    </x:row>
    <x:row r="94">
      <x:c r="F94" s="14"/>
    </x:row>
    <x:row r="95">
      <x:c r="F95" s="14"/>
    </x:row>
    <x:row r="96">
      <x:c r="F96" s="14"/>
    </x:row>
    <x:row r="97">
      <x:c r="F97" s="14"/>
    </x:row>
    <x:row r="98">
      <x:c r="F98" s="14"/>
    </x:row>
    <x:row r="99">
      <x:c r="F99" s="14"/>
    </x:row>
    <x:row r="100">
      <x:c r="F100" s="14"/>
    </x:row>
    <x:row r="101">
      <x:c r="F101" s="14"/>
    </x:row>
    <x:row r="102">
      <x:c r="F102" s="14"/>
    </x:row>
    <x:row r="103">
      <x:c r="F103" s="14"/>
    </x:row>
    <x:row r="104">
      <x:c r="F104" s="14"/>
    </x:row>
    <x:row r="105">
      <x:c r="F105" s="14"/>
    </x:row>
    <x:row r="106">
      <x:c r="F106" s="14"/>
    </x:row>
    <x:row r="107">
      <x:c r="F107" s="14"/>
    </x:row>
    <x:row r="108">
      <x:c r="F108" s="14"/>
    </x:row>
    <x:row r="109">
      <x:c r="F109" s="14"/>
    </x:row>
    <x:row r="110">
      <x:c r="F110" s="14"/>
    </x:row>
    <x:row r="111">
      <x:c r="F111" s="14"/>
    </x:row>
    <x:row r="112">
      <x:c r="F112" s="14"/>
    </x:row>
    <x:row r="113">
      <x:c r="F113" s="14"/>
    </x:row>
    <x:row r="114">
      <x:c r="F114" s="14"/>
    </x:row>
    <x:row r="115">
      <x:c r="F115" s="14"/>
    </x:row>
    <x:row r="116">
      <x:c r="F116" s="14"/>
    </x:row>
    <x:row r="117">
      <x:c r="F117" s="14"/>
    </x:row>
    <x:row r="118">
      <x:c r="F118" s="14"/>
    </x:row>
    <x:row r="119">
      <x:c r="F119" s="14"/>
    </x:row>
    <x:row r="120">
      <x:c r="F120" s="14"/>
    </x:row>
    <x:row r="121">
      <x:c r="F121" s="14"/>
    </x:row>
    <x:row r="122">
      <x:c r="F122" s="14"/>
    </x:row>
    <x:row r="123">
      <x:c r="F123" s="14"/>
    </x:row>
    <x:row r="124">
      <x:c r="F124" s="14"/>
    </x:row>
    <x:row r="125">
      <x:c r="F125" s="14"/>
    </x:row>
    <x:row r="126">
      <x:c r="F126" s="14"/>
    </x:row>
    <x:row r="127">
      <x:c r="F127" s="14"/>
    </x:row>
    <x:row r="128">
      <x:c r="F128" s="14"/>
    </x:row>
    <x:row r="129">
      <x:c r="F129" s="14"/>
    </x:row>
    <x:row r="130">
      <x:c r="F130" s="14"/>
    </x:row>
    <x:row r="131">
      <x:c r="F131" s="14"/>
    </x:row>
    <x:row r="132">
      <x:c r="F132" s="14"/>
    </x:row>
    <x:row r="133">
      <x:c r="F133" s="14"/>
    </x:row>
    <x:row r="134">
      <x:c r="F134" s="14"/>
    </x:row>
    <x:row r="135">
      <x:c r="F135" s="14"/>
    </x:row>
    <x:row r="136">
      <x:c r="F136" s="14"/>
    </x:row>
    <x:row r="137">
      <x:c r="F137" s="14"/>
    </x:row>
    <x:row r="138">
      <x:c r="F138" s="14"/>
    </x:row>
    <x:row r="139">
      <x:c r="F139" s="14"/>
    </x:row>
    <x:row r="140">
      <x:c r="F140" s="14"/>
    </x:row>
    <x:row r="141">
      <x:c r="F141" s="14"/>
    </x:row>
    <x:row r="142">
      <x:c r="F142" s="14"/>
    </x:row>
    <x:row r="143">
      <x:c r="F143" s="14"/>
    </x:row>
    <x:row r="144">
      <x:c r="F144" s="14"/>
    </x:row>
    <x:row r="145">
      <x:c r="F145" s="14"/>
    </x:row>
    <x:row r="146">
      <x:c r="F146" s="14"/>
    </x:row>
    <x:row r="147">
      <x:c r="F147" s="14"/>
    </x:row>
    <x:row r="148">
      <x:c r="F148" s="14"/>
    </x:row>
    <x:row r="149">
      <x:c r="F149" s="14"/>
    </x:row>
    <x:row r="150">
      <x:c r="F150" s="14"/>
    </x:row>
    <x:row r="151">
      <x:c r="F151" s="14"/>
    </x:row>
    <x:row r="152">
      <x:c r="F152" s="14"/>
    </x:row>
    <x:row r="153">
      <x:c r="F153" s="14"/>
    </x:row>
    <x:row r="154">
      <x:c r="F154" s="14"/>
    </x:row>
    <x:row r="155">
      <x:c r="F155" s="14"/>
    </x:row>
    <x:row r="156">
      <x:c r="F156" s="14"/>
    </x:row>
    <x:row r="157">
      <x:c r="F157" s="14"/>
    </x:row>
    <x:row r="158">
      <x:c r="F158" s="14"/>
    </x:row>
    <x:row r="159">
      <x:c r="F159" s="14"/>
    </x:row>
    <x:row r="160">
      <x:c r="F160" s="14"/>
    </x:row>
    <x:row r="161">
      <x:c r="F161" s="14"/>
    </x:row>
    <x:row r="162">
      <x:c r="F162" s="14"/>
    </x:row>
    <x:row r="163">
      <x:c r="F163" s="14"/>
    </x:row>
    <x:row r="164">
      <x:c r="F164" s="14"/>
    </x:row>
    <x:row r="165">
      <x:c r="F165" s="14"/>
    </x:row>
    <x:row r="166">
      <x:c r="F166" s="14"/>
    </x:row>
    <x:row r="167">
      <x:c r="F167" s="14"/>
    </x:row>
    <x:row r="168">
      <x:c r="F168" s="14"/>
    </x:row>
    <x:row r="169">
      <x:c r="F169" s="14"/>
    </x:row>
    <x:row r="170">
      <x:c r="F170" s="14"/>
    </x:row>
    <x:row r="171">
      <x:c r="F171" s="14"/>
    </x:row>
    <x:row r="172">
      <x:c r="F172" s="14"/>
    </x:row>
    <x:row r="173">
      <x:c r="F173" s="14"/>
    </x:row>
    <x:row r="174">
      <x:c r="F174" s="14"/>
    </x:row>
    <x:row r="175">
      <x:c r="F175" s="14"/>
    </x:row>
    <x:row r="176">
      <x:c r="F176" s="14"/>
    </x:row>
    <x:row r="177">
      <x:c r="F177" s="14"/>
    </x:row>
    <x:row r="178">
      <x:c r="F178" s="14"/>
    </x:row>
    <x:row r="179">
      <x:c r="F179" s="14"/>
    </x:row>
    <x:row r="180">
      <x:c r="F180" s="14"/>
    </x:row>
    <x:row r="181">
      <x:c r="F181" s="14"/>
    </x:row>
    <x:row r="182">
      <x:c r="F182" s="14"/>
    </x:row>
    <x:row r="183">
      <x:c r="F183" s="14"/>
    </x:row>
    <x:row r="184">
      <x:c r="F184" s="14"/>
    </x:row>
    <x:row r="185">
      <x:c r="F185" s="14"/>
    </x:row>
    <x:row r="186">
      <x:c r="F186" s="14"/>
    </x:row>
    <x:row r="187">
      <x:c r="F187" s="14"/>
    </x:row>
    <x:row r="188">
      <x:c r="F188" s="14"/>
    </x:row>
    <x:row r="189">
      <x:c r="F189" s="14"/>
    </x:row>
    <x:row r="190">
      <x:c r="F190" s="14"/>
    </x:row>
    <x:row r="191">
      <x:c r="F191" s="14"/>
    </x:row>
    <x:row r="192">
      <x:c r="F192" s="14"/>
    </x:row>
    <x:row r="193">
      <x:c r="F193" s="14"/>
    </x:row>
    <x:row r="194">
      <x:c r="F194" s="14"/>
    </x:row>
    <x:row r="195">
      <x:c r="F195" s="14"/>
    </x:row>
    <x:row r="196">
      <x:c r="F196" s="14"/>
    </x:row>
    <x:row r="197">
      <x:c r="F197" s="14"/>
    </x:row>
    <x:row r="198">
      <x:c r="F198" s="14"/>
    </x:row>
    <x:row r="199">
      <x:c r="F199" s="14"/>
    </x:row>
    <x:row r="200">
      <x:c r="F200" s="14"/>
    </x:row>
  </x:sheetData>
  <x:mergeCells>
    <x:mergeCell ref="A2:L2"/>
    <x:mergeCell ref="A4:L4"/>
  </x:mergeCells>
  <x:conditionalFormatting sqref="H8:H200">
    <x:cfRule type="containsText" dxfId="0" priority="1" operator="containsText" text="失败"/>
    <x:cfRule type="containsText" dxfId="1" priority="2" operator="containsText" text="阻塞"/>
  </x:conditionalFormatting>
  <x:dataValidations count="2">
    <x:dataValidation type="list" sqref="H8:H200">
      <x:formula1>"未测试,通过,失败,阻塞,不适用"</x:formula1>
    </x:dataValidation>
    <x:dataValidation type="list" sqref="L8:L200">
      <x:formula1>"未复测,通过,仍失败,阻塞"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a049c24b04f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3" hidden="0" customWidth="1"/>
    <x:col min="5" max="5" width="13" hidden="0" customWidth="1"/>
    <x:col min="6" max="6" width="42" hidden="0" customWidth="1"/>
    <x:col min="7" max="7" width="46" hidden="0" customWidth="1"/>
    <x:col min="8" max="8" width="29" hidden="0" customWidth="1"/>
    <x:col min="9" max="9" width="27" hidden="0" customWidth="1"/>
    <x:col min="10" max="10" width="18" hidden="0" customWidth="1"/>
    <x:col min="11" max="11" width="34" hidden="0" customWidth="1"/>
    <x:col min="12" max="12" width="16" hidden="0" customWidth="1"/>
  </x:cols>
  <x:sheetData>
    <x:row r="2">
      <x:c r="A2" s="1" t="str">
        <x:v>问题反馈与复测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>
      <x:c r="A4" s="2" t="str">
        <x:v>一个问题填一行；用例编号与“测试记录”对应。保留可复现步骤和截图/日志文件名，不填写密码及完整客户信息。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6" ht="30" customHeight="1">
      <x:c r="A6" s="9" t="str">
        <x:v>问题编号</x:v>
      </x:c>
      <x:c r="B6" s="9" t="str">
        <x:v>关联用例</x:v>
      </x:c>
      <x:c r="C6" s="9" t="str">
        <x:v>发现日期</x:v>
      </x:c>
      <x:c r="D6" s="9" t="str">
        <x:v>发现人</x:v>
      </x:c>
      <x:c r="E6" s="9" t="str">
        <x:v>严重程度</x:v>
      </x:c>
      <x:c r="F6" s="9" t="str">
        <x:v>实际问题</x:v>
      </x:c>
      <x:c r="G6" s="9" t="str">
        <x:v>复现步骤</x:v>
      </x:c>
      <x:c r="H6" s="9" t="str">
        <x:v>证据文件/截图</x:v>
      </x:c>
      <x:c r="I6" s="9" t="str">
        <x:v>影响范围</x:v>
      </x:c>
      <x:c r="J6" s="9" t="str">
        <x:v>处理状态</x:v>
      </x:c>
      <x:c r="K6" s="9" t="str">
        <x:v>修复说明/版本</x:v>
      </x:c>
      <x:c r="L6" s="9" t="str">
        <x:v>复测结论</x:v>
      </x:c>
    </x:row>
    <x:row r="7" ht="32" customHeight="1">
      <x:c r="A7" s="12"/>
      <x:c r="B7" s="12"/>
      <x:c r="C7" s="13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32" customHeight="1">
      <x:c r="A8" s="12"/>
      <x:c r="B8" s="12"/>
      <x:c r="C8" s="13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32" customHeight="1">
      <x:c r="A9" s="12"/>
      <x:c r="B9" s="12"/>
      <x:c r="C9" s="13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32" customHeight="1">
      <x:c r="A10" s="12"/>
      <x:c r="B10" s="12"/>
      <x:c r="C10" s="13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32" customHeight="1">
      <x:c r="A11" s="12"/>
      <x:c r="B11" s="12"/>
      <x:c r="C11" s="13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32" customHeight="1">
      <x:c r="A12" s="12"/>
      <x:c r="B12" s="12"/>
      <x:c r="C12" s="13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32" customHeight="1">
      <x:c r="A13" s="12"/>
      <x:c r="B13" s="12"/>
      <x:c r="C13" s="13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32" customHeight="1">
      <x:c r="A14" s="12"/>
      <x:c r="B14" s="12"/>
      <x:c r="C14" s="13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32" customHeight="1">
      <x:c r="A15" s="12"/>
      <x:c r="B15" s="12"/>
      <x:c r="C15" s="13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32" customHeight="1">
      <x:c r="A16" s="12"/>
      <x:c r="B16" s="12"/>
      <x:c r="C16" s="13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32" customHeight="1">
      <x:c r="A17" s="12"/>
      <x:c r="B17" s="12"/>
      <x:c r="C17" s="13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32" customHeight="1">
      <x:c r="A18" s="12"/>
      <x:c r="B18" s="12"/>
      <x:c r="C18" s="13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32" customHeight="1">
      <x:c r="A19" s="12"/>
      <x:c r="B19" s="12"/>
      <x:c r="C19" s="13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32" customHeight="1">
      <x:c r="A20" s="12"/>
      <x:c r="B20" s="12"/>
      <x:c r="C20" s="13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32" customHeight="1">
      <x:c r="A21" s="12"/>
      <x:c r="B21" s="12"/>
      <x:c r="C21" s="13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32" customHeight="1">
      <x:c r="A22" s="12"/>
      <x:c r="B22" s="12"/>
      <x:c r="C22" s="13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32" customHeight="1">
      <x:c r="A23" s="12"/>
      <x:c r="B23" s="12"/>
      <x:c r="C23" s="13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32" customHeight="1">
      <x:c r="A24" s="12"/>
      <x:c r="B24" s="12"/>
      <x:c r="C24" s="13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32" customHeight="1">
      <x:c r="A25" s="12"/>
      <x:c r="B25" s="12"/>
      <x:c r="C25" s="13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32" customHeight="1">
      <x:c r="A26" s="12"/>
      <x:c r="B26" s="12"/>
      <x:c r="C26" s="13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32" customHeight="1">
      <x:c r="A27" s="12"/>
      <x:c r="B27" s="12"/>
      <x:c r="C27" s="13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32" customHeight="1">
      <x:c r="A28" s="12"/>
      <x:c r="B28" s="12"/>
      <x:c r="C28" s="13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32" customHeight="1">
      <x:c r="A29" s="12"/>
      <x:c r="B29" s="12"/>
      <x:c r="C29" s="13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32" customHeight="1">
      <x:c r="A30" s="12"/>
      <x:c r="B30" s="12"/>
      <x:c r="C30" s="13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32" customHeight="1">
      <x:c r="A31" s="12"/>
      <x:c r="B31" s="12"/>
      <x:c r="C31" s="13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32" customHeight="1">
      <x:c r="A32" s="12"/>
      <x:c r="B32" s="12"/>
      <x:c r="C32" s="13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32" customHeight="1">
      <x:c r="A33" s="12"/>
      <x:c r="B33" s="12"/>
      <x:c r="C33" s="13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32" customHeight="1">
      <x:c r="A34" s="12"/>
      <x:c r="B34" s="12"/>
      <x:c r="C34" s="13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32" customHeight="1">
      <x:c r="A35" s="12"/>
      <x:c r="B35" s="12"/>
      <x:c r="C35" s="13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32" customHeight="1">
      <x:c r="A36" s="12"/>
      <x:c r="B36" s="12"/>
      <x:c r="C36" s="13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32" customHeight="1">
      <x:c r="A37" s="12"/>
      <x:c r="B37" s="12"/>
      <x:c r="C37" s="13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32" customHeight="1">
      <x:c r="A38" s="12"/>
      <x:c r="B38" s="12"/>
      <x:c r="C38" s="13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32" customHeight="1">
      <x:c r="A39" s="12"/>
      <x:c r="B39" s="12"/>
      <x:c r="C39" s="13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32" customHeight="1">
      <x:c r="A40" s="12"/>
      <x:c r="B40" s="12"/>
      <x:c r="C40" s="13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32" customHeight="1">
      <x:c r="A41" s="12"/>
      <x:c r="B41" s="12"/>
      <x:c r="C41" s="13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32" customHeight="1">
      <x:c r="A42" s="12"/>
      <x:c r="B42" s="12"/>
      <x:c r="C42" s="13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32" customHeight="1">
      <x:c r="A43" s="12"/>
      <x:c r="B43" s="12"/>
      <x:c r="C43" s="13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32" customHeight="1">
      <x:c r="A44" s="12"/>
      <x:c r="B44" s="12"/>
      <x:c r="C44" s="13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32" customHeight="1">
      <x:c r="A45" s="12"/>
      <x:c r="B45" s="12"/>
      <x:c r="C45" s="13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32" customHeight="1">
      <x:c r="A46" s="12"/>
      <x:c r="B46" s="12"/>
      <x:c r="C46" s="13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C47" s="14"/>
    </x:row>
    <x:row r="48">
      <x:c r="C48" s="14"/>
    </x:row>
    <x:row r="49">
      <x:c r="C49" s="14"/>
    </x:row>
    <x:row r="50">
      <x:c r="C50" s="14"/>
    </x:row>
    <x:row r="51">
      <x:c r="C51" s="14"/>
    </x:row>
    <x:row r="52">
      <x:c r="C52" s="14"/>
    </x:row>
    <x:row r="53">
      <x:c r="C53" s="14"/>
    </x:row>
    <x:row r="54">
      <x:c r="C54" s="14"/>
    </x:row>
    <x:row r="55">
      <x:c r="C55" s="14"/>
    </x:row>
    <x:row r="56">
      <x:c r="C56" s="14"/>
    </x:row>
    <x:row r="57">
      <x:c r="C57" s="14"/>
    </x:row>
    <x:row r="58">
      <x:c r="C58" s="14"/>
    </x:row>
    <x:row r="59">
      <x:c r="C59" s="14"/>
    </x:row>
    <x:row r="60">
      <x:c r="C60" s="14"/>
    </x:row>
    <x:row r="61">
      <x:c r="C61" s="14"/>
    </x:row>
    <x:row r="62">
      <x:c r="C62" s="14"/>
    </x:row>
    <x:row r="63">
      <x:c r="C63" s="14"/>
    </x:row>
    <x:row r="64">
      <x:c r="C64" s="14"/>
    </x:row>
    <x:row r="65">
      <x:c r="C65" s="14"/>
    </x:row>
    <x:row r="66">
      <x:c r="C66" s="14"/>
    </x:row>
    <x:row r="67">
      <x:c r="C67" s="14"/>
    </x:row>
    <x:row r="68">
      <x:c r="C68" s="14"/>
    </x:row>
    <x:row r="69">
      <x:c r="C69" s="14"/>
    </x:row>
    <x:row r="70">
      <x:c r="C70" s="14"/>
    </x:row>
    <x:row r="71">
      <x:c r="C71" s="14"/>
    </x:row>
    <x:row r="72">
      <x:c r="C72" s="14"/>
    </x:row>
    <x:row r="73">
      <x:c r="C73" s="14"/>
    </x:row>
    <x:row r="74">
      <x:c r="C74" s="14"/>
    </x:row>
    <x:row r="75">
      <x:c r="C75" s="14"/>
    </x:row>
    <x:row r="76">
      <x:c r="C76" s="14"/>
    </x:row>
    <x:row r="77">
      <x:c r="C77" s="14"/>
    </x:row>
    <x:row r="78">
      <x:c r="C78" s="14"/>
    </x:row>
    <x:row r="79">
      <x:c r="C79" s="14"/>
    </x:row>
    <x:row r="80">
      <x:c r="C80" s="14"/>
    </x:row>
    <x:row r="81">
      <x:c r="C81" s="14"/>
    </x:row>
    <x:row r="82">
      <x:c r="C82" s="14"/>
    </x:row>
    <x:row r="83">
      <x:c r="C83" s="14"/>
    </x:row>
    <x:row r="84">
      <x:c r="C84" s="14"/>
    </x:row>
    <x:row r="85">
      <x:c r="C85" s="14"/>
    </x:row>
    <x:row r="86">
      <x:c r="C86" s="14"/>
    </x:row>
    <x:row r="87">
      <x:c r="C87" s="14"/>
    </x:row>
    <x:row r="88">
      <x:c r="C88" s="14"/>
    </x:row>
    <x:row r="89">
      <x:c r="C89" s="14"/>
    </x:row>
    <x:row r="90">
      <x:c r="C90" s="14"/>
    </x:row>
    <x:row r="91">
      <x:c r="C91" s="14"/>
    </x:row>
    <x:row r="92">
      <x:c r="C92" s="14"/>
    </x:row>
    <x:row r="93">
      <x:c r="C93" s="14"/>
    </x:row>
    <x:row r="94">
      <x:c r="C94" s="14"/>
    </x:row>
    <x:row r="95">
      <x:c r="C95" s="14"/>
    </x:row>
    <x:row r="96">
      <x:c r="C96" s="14"/>
    </x:row>
    <x:row r="97">
      <x:c r="C97" s="14"/>
    </x:row>
    <x:row r="98">
      <x:c r="C98" s="14"/>
    </x:row>
    <x:row r="99">
      <x:c r="C99" s="14"/>
    </x:row>
    <x:row r="100">
      <x:c r="C100" s="14"/>
    </x:row>
    <x:row r="101">
      <x:c r="C101" s="14"/>
    </x:row>
    <x:row r="102">
      <x:c r="C102" s="14"/>
    </x:row>
    <x:row r="103">
      <x:c r="C103" s="14"/>
    </x:row>
    <x:row r="104">
      <x:c r="C104" s="14"/>
    </x:row>
    <x:row r="105">
      <x:c r="C105" s="14"/>
    </x:row>
    <x:row r="106">
      <x:c r="C106" s="14"/>
    </x:row>
    <x:row r="107">
      <x:c r="C107" s="14"/>
    </x:row>
    <x:row r="108">
      <x:c r="C108" s="14"/>
    </x:row>
    <x:row r="109">
      <x:c r="C109" s="14"/>
    </x:row>
    <x:row r="110">
      <x:c r="C110" s="14"/>
    </x:row>
    <x:row r="111">
      <x:c r="C111" s="14"/>
    </x:row>
    <x:row r="112">
      <x:c r="C112" s="14"/>
    </x:row>
    <x:row r="113">
      <x:c r="C113" s="14"/>
    </x:row>
    <x:row r="114">
      <x:c r="C114" s="14"/>
    </x:row>
    <x:row r="115">
      <x:c r="C115" s="14"/>
    </x:row>
    <x:row r="116">
      <x:c r="C116" s="14"/>
    </x:row>
    <x:row r="117">
      <x:c r="C117" s="14"/>
    </x:row>
    <x:row r="118">
      <x:c r="C118" s="14"/>
    </x:row>
    <x:row r="119">
      <x:c r="C119" s="14"/>
    </x:row>
    <x:row r="120">
      <x:c r="C120" s="14"/>
    </x:row>
    <x:row r="121">
      <x:c r="C121" s="14"/>
    </x:row>
    <x:row r="122">
      <x:c r="C122" s="14"/>
    </x:row>
    <x:row r="123">
      <x:c r="C123" s="14"/>
    </x:row>
    <x:row r="124">
      <x:c r="C124" s="14"/>
    </x:row>
    <x:row r="125">
      <x:c r="C125" s="14"/>
    </x:row>
    <x:row r="126">
      <x:c r="C126" s="14"/>
    </x:row>
    <x:row r="127">
      <x:c r="C127" s="14"/>
    </x:row>
    <x:row r="128">
      <x:c r="C128" s="14"/>
    </x:row>
    <x:row r="129">
      <x:c r="C129" s="14"/>
    </x:row>
    <x:row r="130">
      <x:c r="C130" s="14"/>
    </x:row>
    <x:row r="131">
      <x:c r="C131" s="14"/>
    </x:row>
    <x:row r="132">
      <x:c r="C132" s="14"/>
    </x:row>
    <x:row r="133">
      <x:c r="C133" s="14"/>
    </x:row>
    <x:row r="134">
      <x:c r="C134" s="14"/>
    </x:row>
    <x:row r="135">
      <x:c r="C135" s="14"/>
    </x:row>
    <x:row r="136">
      <x:c r="C136" s="14"/>
    </x:row>
    <x:row r="137">
      <x:c r="C137" s="14"/>
    </x:row>
    <x:row r="138">
      <x:c r="C138" s="14"/>
    </x:row>
    <x:row r="139">
      <x:c r="C139" s="14"/>
    </x:row>
    <x:row r="140">
      <x:c r="C140" s="14"/>
    </x:row>
    <x:row r="141">
      <x:c r="C141" s="14"/>
    </x:row>
    <x:row r="142">
      <x:c r="C142" s="14"/>
    </x:row>
    <x:row r="143">
      <x:c r="C143" s="14"/>
    </x:row>
    <x:row r="144">
      <x:c r="C144" s="14"/>
    </x:row>
    <x:row r="145">
      <x:c r="C145" s="14"/>
    </x:row>
    <x:row r="146">
      <x:c r="C146" s="14"/>
    </x:row>
    <x:row r="147">
      <x:c r="C147" s="14"/>
    </x:row>
    <x:row r="148">
      <x:c r="C148" s="14"/>
    </x:row>
    <x:row r="149">
      <x:c r="C149" s="14"/>
    </x:row>
    <x:row r="150">
      <x:c r="C150" s="14"/>
    </x:row>
    <x:row r="151">
      <x:c r="C151" s="14"/>
    </x:row>
    <x:row r="152">
      <x:c r="C152" s="14"/>
    </x:row>
    <x:row r="153">
      <x:c r="C153" s="14"/>
    </x:row>
    <x:row r="154">
      <x:c r="C154" s="14"/>
    </x:row>
    <x:row r="155">
      <x:c r="C155" s="14"/>
    </x:row>
    <x:row r="156">
      <x:c r="C156" s="14"/>
    </x:row>
    <x:row r="157">
      <x:c r="C157" s="14"/>
    </x:row>
    <x:row r="158">
      <x:c r="C158" s="14"/>
    </x:row>
    <x:row r="159">
      <x:c r="C159" s="14"/>
    </x:row>
    <x:row r="160">
      <x:c r="C160" s="14"/>
    </x:row>
    <x:row r="161">
      <x:c r="C161" s="14"/>
    </x:row>
    <x:row r="162">
      <x:c r="C162" s="14"/>
    </x:row>
    <x:row r="163">
      <x:c r="C163" s="14"/>
    </x:row>
    <x:row r="164">
      <x:c r="C164" s="14"/>
    </x:row>
    <x:row r="165">
      <x:c r="C165" s="14"/>
    </x:row>
    <x:row r="166">
      <x:c r="C166" s="14"/>
    </x:row>
    <x:row r="167">
      <x:c r="C167" s="14"/>
    </x:row>
    <x:row r="168">
      <x:c r="C168" s="14"/>
    </x:row>
    <x:row r="169">
      <x:c r="C169" s="14"/>
    </x:row>
    <x:row r="170">
      <x:c r="C170" s="14"/>
    </x:row>
    <x:row r="171">
      <x:c r="C171" s="14"/>
    </x:row>
    <x:row r="172">
      <x:c r="C172" s="14"/>
    </x:row>
    <x:row r="173">
      <x:c r="C173" s="14"/>
    </x:row>
    <x:row r="174">
      <x:c r="C174" s="14"/>
    </x:row>
    <x:row r="175">
      <x:c r="C175" s="14"/>
    </x:row>
    <x:row r="176">
      <x:c r="C176" s="14"/>
    </x:row>
    <x:row r="177">
      <x:c r="C177" s="14"/>
    </x:row>
    <x:row r="178">
      <x:c r="C178" s="14"/>
    </x:row>
    <x:row r="179">
      <x:c r="C179" s="14"/>
    </x:row>
    <x:row r="180">
      <x:c r="C180" s="14"/>
    </x:row>
    <x:row r="181">
      <x:c r="C181" s="14"/>
    </x:row>
    <x:row r="182">
      <x:c r="C182" s="14"/>
    </x:row>
    <x:row r="183">
      <x:c r="C183" s="14"/>
    </x:row>
    <x:row r="184">
      <x:c r="C184" s="14"/>
    </x:row>
    <x:row r="185">
      <x:c r="C185" s="14"/>
    </x:row>
    <x:row r="186">
      <x:c r="C186" s="14"/>
    </x:row>
    <x:row r="187">
      <x:c r="C187" s="14"/>
    </x:row>
    <x:row r="188">
      <x:c r="C188" s="14"/>
    </x:row>
    <x:row r="189">
      <x:c r="C189" s="14"/>
    </x:row>
    <x:row r="190">
      <x:c r="C190" s="14"/>
    </x:row>
    <x:row r="191">
      <x:c r="C191" s="14"/>
    </x:row>
    <x:row r="192">
      <x:c r="C192" s="14"/>
    </x:row>
    <x:row r="193">
      <x:c r="C193" s="14"/>
    </x:row>
    <x:row r="194">
      <x:c r="C194" s="14"/>
    </x:row>
    <x:row r="195">
      <x:c r="C195" s="14"/>
    </x:row>
    <x:row r="196">
      <x:c r="C196" s="14"/>
    </x:row>
    <x:row r="197">
      <x:c r="C197" s="14"/>
    </x:row>
    <x:row r="198">
      <x:c r="C198" s="14"/>
    </x:row>
    <x:row r="199">
      <x:c r="C199" s="14"/>
    </x:row>
    <x:row r="200">
      <x:c r="C200" s="14"/>
    </x:row>
  </x:sheetData>
  <x:mergeCells>
    <x:mergeCell ref="A2:L2"/>
    <x:mergeCell ref="A4:L4"/>
  </x:mergeCells>
  <x:dataValidations count="3">
    <x:dataValidation type="list" sqref="E7:E200">
      <x:formula1>"高,中,低"</x:formula1>
    </x:dataValidation>
    <x:dataValidation type="list" sqref="J7:J200">
      <x:formula1>"待确认,待修复,已修复待复测,已关闭"</x:formula1>
    </x:dataValidation>
    <x:dataValidation type="list" sqref="L7:L200">
      <x:formula1>"未复测,通过,仍失败,阻塞"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4fee5a76a44ab"/>
  </x:tableParts>
</x:worksheet>
</file>